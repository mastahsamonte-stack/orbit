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Unit Economics" sheetId="3" state="visible" r:id="rId3"/>
    <sheet name="Working Capital" sheetId="4" state="visible" r:id="rId4"/>
    <sheet name="Acquis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&quot;x&quot;"/>
    <numFmt numFmtId="166" formatCode="0.0%"/>
    <numFmt numFmtId="167" formatCode="$#,##0"/>
    <numFmt numFmtId="168" formatCode="0.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3864"/>
      <sz val="12"/>
    </font>
    <font>
      <b val="1"/>
      <color rgb="00FFFFFF"/>
    </font>
    <font>
      <b val="1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4" borderId="1" pivotButton="0" quotePrefix="0" xfId="0"/>
    <xf numFmtId="0" fontId="5" fillId="0" borderId="0" pivotButton="0" quotePrefix="0" xfId="0"/>
    <xf numFmtId="165" fontId="0" fillId="4" borderId="1" pivotButton="0" quotePrefix="0" xfId="0"/>
    <xf numFmtId="3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164" fontId="0" fillId="5" borderId="1" pivotButton="0" quotePrefix="0" xfId="0"/>
    <xf numFmtId="164" fontId="4" fillId="5" borderId="1" pivotButton="0" quotePrefix="0" xfId="0"/>
    <xf numFmtId="166" fontId="0" fillId="5" borderId="1" pivotButton="0" quotePrefix="0" xfId="0"/>
    <xf numFmtId="3" fontId="0" fillId="5" borderId="1" pivotButton="0" quotePrefix="0" xfId="0"/>
    <xf numFmtId="167" fontId="4" fillId="5" borderId="1" pivotButton="0" quotePrefix="0" xfId="0"/>
    <xf numFmtId="167" fontId="0" fillId="5" borderId="1" pivotButton="0" quotePrefix="0" xfId="0"/>
    <xf numFmtId="165" fontId="0" fillId="5" borderId="1" pivotButton="0" quotePrefix="0" xfId="0"/>
    <xf numFmtId="166" fontId="4" fillId="5" borderId="1" pivotButton="0" quotePrefix="0" xfId="0"/>
    <xf numFmtId="168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2" customWidth="1" min="1" max="1"/>
  </cols>
  <sheetData>
    <row r="1" ht="24" customHeight="1">
      <c r="A1" s="1" t="inlineStr">
        <is>
          <t>DSP / HCS Staffing Agency — Financial Model</t>
        </is>
      </c>
    </row>
    <row r="2">
      <c r="A2" t="inlineStr"/>
    </row>
    <row r="3">
      <c r="A3" s="2" t="inlineStr">
        <is>
          <t>HOW TO USE</t>
        </is>
      </c>
    </row>
    <row r="4">
      <c r="A4" t="inlineStr">
        <is>
          <t xml:space="preserve">  - YELLOW cells = inputs you edit.  GREEN cells = calculated (don't overwrite).</t>
        </is>
      </c>
    </row>
    <row r="5">
      <c r="A5" t="inlineStr">
        <is>
          <t xml:space="preserve">  - Change any yellow input and all dependent green cells recalculate automatically.</t>
        </is>
      </c>
    </row>
    <row r="6">
      <c r="A6" t="inlineStr">
        <is>
          <t xml:space="preserve">  - Works in Excel or Google Sheets. Formulas are live.</t>
        </is>
      </c>
    </row>
    <row r="7">
      <c r="A7" t="inlineStr"/>
    </row>
    <row r="8">
      <c r="A8" s="2" t="inlineStr">
        <is>
          <t>TABS</t>
        </is>
      </c>
    </row>
    <row r="9">
      <c r="A9" t="inlineStr">
        <is>
          <t xml:space="preserve">  1. Assumptions     - all inputs in one place.</t>
        </is>
      </c>
    </row>
    <row r="10">
      <c r="A10" t="inlineStr">
        <is>
          <t xml:space="preserve">  2. Unit Economics  - bill vs. pay rate, gross margin per hour, annual P&amp;L.</t>
        </is>
      </c>
    </row>
    <row r="11">
      <c r="A11" t="inlineStr">
        <is>
          <t xml:space="preserve">  3. Working Capital - payroll float: cash gap between paying DSPs and getting paid.</t>
        </is>
      </c>
    </row>
    <row r="12">
      <c r="A12" t="inlineStr">
        <is>
          <t xml:space="preserve">  4. Acquisition     - pro-forma for buying an agency (multiple, price, funding, returns).</t>
        </is>
      </c>
    </row>
    <row r="13">
      <c r="A13" t="inlineStr"/>
    </row>
    <row r="14">
      <c r="A14" t="inlineStr">
        <is>
          <t>GROUNDING (Texas / San Antonio, 2025-2026 - verify before relying)</t>
        </is>
      </c>
    </row>
    <row r="15">
      <c r="A15" t="inlineStr">
        <is>
          <t xml:space="preserve">  - TX Medicaid attendant rates support avg ~$13.00/hr wage + 14-15% payroll-tax/benefits (Sept 2025).</t>
        </is>
      </c>
    </row>
    <row r="16">
      <c r="A16" t="inlineStr">
        <is>
          <t xml:space="preserve">  - On Medicaid work, margin comes from overhead efficiency &amp; scale, NOT rate negotiation (capped).</t>
        </is>
      </c>
    </row>
    <row r="17">
      <c r="A17" t="inlineStr">
        <is>
          <t xml:space="preserve">  - Staffing markup typically 1.45x-1.75x of pay; gross margin ~15-30%.</t>
        </is>
      </c>
    </row>
    <row r="18">
      <c r="A18" t="inlineStr">
        <is>
          <t xml:space="preserve">  - Payroll float: pay DSPs weekly, collect from Medicaid/MCOs in 30-90 days. Fund it or factor.</t>
        </is>
      </c>
    </row>
    <row r="19">
      <c r="A19" t="inlineStr">
        <is>
          <t xml:space="preserve">  - Small agencies ($0.5-3M rev) trade ~2-3.5x SDE; IDD/HCS ~4-7x EBITDA (small), 8-11x (platform).</t>
        </is>
      </c>
    </row>
    <row r="20">
      <c r="A20" t="inlineStr">
        <is>
          <t xml:space="preserve">  - Caregiver turnover median ~75% (2024) - the #1 operational risk.</t>
        </is>
      </c>
    </row>
    <row r="21">
      <c r="A21" t="inlineStr"/>
    </row>
    <row r="22">
      <c r="A22" t="inlineStr">
        <is>
          <t>These are starting assumptions, not guarantees. Replace with real diligence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2" customWidth="1" min="3" max="3"/>
  </cols>
  <sheetData>
    <row r="1" ht="24" customHeight="1">
      <c r="A1" s="1" t="inlineStr">
        <is>
          <t>Assumptions  (edit YELLOW cells)</t>
        </is>
      </c>
      <c r="B1" s="3" t="n"/>
      <c r="C1" s="3" t="n"/>
    </row>
    <row r="2">
      <c r="A2" s="4" t="inlineStr">
        <is>
          <t>Input</t>
        </is>
      </c>
      <c r="B2" s="4" t="inlineStr">
        <is>
          <t>Value</t>
        </is>
      </c>
      <c r="C2" s="5" t="inlineStr">
        <is>
          <t>Note</t>
        </is>
      </c>
    </row>
    <row r="3">
      <c r="A3" s="6" t="inlineStr">
        <is>
          <t>LABOR &amp; BILLING</t>
        </is>
      </c>
      <c r="B3" s="7" t="n"/>
      <c r="C3" s="7" t="n"/>
    </row>
    <row r="4">
      <c r="A4" t="inlineStr">
        <is>
          <t>DSP pay rate ($/hr)</t>
        </is>
      </c>
      <c r="B4" s="8" t="n">
        <v>14</v>
      </c>
      <c r="C4" s="9" t="inlineStr">
        <is>
          <t>What you pay the caregiver (~$13 Medicaid avg; pay up to compete).</t>
        </is>
      </c>
    </row>
    <row r="5">
      <c r="A5" t="inlineStr">
        <is>
          <t>Bill rate multiplier (x pay)</t>
        </is>
      </c>
      <c r="B5" s="10" t="n">
        <v>1.6</v>
      </c>
      <c r="C5" s="9" t="inlineStr">
        <is>
          <t>1.45-1.75 typical. Medicaid is rate-capped - confirm allowable.</t>
        </is>
      </c>
    </row>
    <row r="6">
      <c r="A6" t="inlineStr">
        <is>
          <t>Billable hours per DSP per week</t>
        </is>
      </c>
      <c r="B6" s="11" t="n">
        <v>32</v>
      </c>
      <c r="C6" s="9" t="inlineStr">
        <is>
          <t>Net of unfilled shifts, PTO, no-shows.</t>
        </is>
      </c>
    </row>
    <row r="7">
      <c r="A7" t="inlineStr">
        <is>
          <t>Number of DSPs (FTE-equiv)</t>
        </is>
      </c>
      <c r="B7" s="11" t="n">
        <v>40</v>
      </c>
      <c r="C7" s="9" t="inlineStr">
        <is>
          <t>Drives total volume.</t>
        </is>
      </c>
    </row>
    <row r="8">
      <c r="A8" t="inlineStr">
        <is>
          <t>Weeks operating per year</t>
        </is>
      </c>
      <c r="B8" s="11" t="n">
        <v>52</v>
      </c>
    </row>
    <row r="10">
      <c r="A10" s="6" t="inlineStr">
        <is>
          <t>LABOR BURDEN (on top of pay)</t>
        </is>
      </c>
      <c r="B10" s="7" t="n"/>
      <c r="C10" s="7" t="n"/>
    </row>
    <row r="11">
      <c r="A11" t="inlineStr">
        <is>
          <t>Employer payroll taxes (FICA+FUTA+SUTA) %</t>
        </is>
      </c>
      <c r="B11" s="12" t="n">
        <v>0.1</v>
      </c>
      <c r="C11" s="9" t="inlineStr">
        <is>
          <t>~8-12% of wages.</t>
        </is>
      </c>
    </row>
    <row r="12">
      <c r="A12" t="inlineStr">
        <is>
          <t>Workers' comp %</t>
        </is>
      </c>
      <c r="B12" s="12" t="n">
        <v>0.05</v>
      </c>
      <c r="C12" s="9" t="inlineStr">
        <is>
          <t>5-15%+ for caregiving. Optional in TX but recommended.</t>
        </is>
      </c>
    </row>
    <row r="13">
      <c r="A13" t="inlineStr">
        <is>
          <t>Benefits / PTO %</t>
        </is>
      </c>
      <c r="B13" s="12" t="n">
        <v>0.04</v>
      </c>
      <c r="C13" s="9" t="inlineStr">
        <is>
          <t>Raise to compete on retention.</t>
        </is>
      </c>
    </row>
    <row r="15">
      <c r="A15" s="6" t="inlineStr">
        <is>
          <t>OVERHEAD (fixed, annual)</t>
        </is>
      </c>
      <c r="B15" s="7" t="n"/>
      <c r="C15" s="7" t="n"/>
    </row>
    <row r="16">
      <c r="A16" t="inlineStr">
        <is>
          <t>Office rent + utilities</t>
        </is>
      </c>
      <c r="B16" s="13" t="n">
        <v>36000</v>
      </c>
    </row>
    <row r="17">
      <c r="A17" t="inlineStr">
        <is>
          <t>Admin &amp; office salaries (non-billable)</t>
        </is>
      </c>
      <c r="B17" s="13" t="n">
        <v>180000</v>
      </c>
      <c r="C17" s="9" t="inlineStr">
        <is>
          <t>Administrator, scheduler, biller, recruiter.</t>
        </is>
      </c>
    </row>
    <row r="18">
      <c r="A18" t="inlineStr">
        <is>
          <t>Insurance (GL + professional + EPLI)</t>
        </is>
      </c>
      <c r="B18" s="13" t="n">
        <v>12000</v>
      </c>
    </row>
    <row r="19">
      <c r="A19" t="inlineStr">
        <is>
          <t>Software (EVV, scheduling, payroll)</t>
        </is>
      </c>
      <c r="B19" s="13" t="n">
        <v>9000</v>
      </c>
      <c r="C19" s="9" t="inlineStr">
        <is>
          <t>HHAeXchange EVV free for Medicaid; other tools paid.</t>
        </is>
      </c>
    </row>
    <row r="20">
      <c r="A20" t="inlineStr">
        <is>
          <t>Compliance, training, licensing</t>
        </is>
      </c>
      <c r="B20" s="13" t="n">
        <v>8000</v>
      </c>
      <c r="C20" s="9" t="inlineStr">
        <is>
          <t>HCSSA $2,625/3yr, admin training, background checks.</t>
        </is>
      </c>
    </row>
    <row r="21">
      <c r="A21" t="inlineStr">
        <is>
          <t>Marketing &amp; recruiting</t>
        </is>
      </c>
      <c r="B21" s="13" t="n">
        <v>24000</v>
      </c>
      <c r="C21" s="9" t="inlineStr">
        <is>
          <t>Recruiting DSPs is the real bottleneck.</t>
        </is>
      </c>
    </row>
    <row r="22">
      <c r="A22" t="inlineStr">
        <is>
          <t>Other G&amp;A</t>
        </is>
      </c>
      <c r="B22" s="13" t="n">
        <v>18000</v>
      </c>
    </row>
    <row r="24">
      <c r="A24" s="6" t="inlineStr">
        <is>
          <t>WORKING CAPITAL</t>
        </is>
      </c>
      <c r="B24" s="7" t="n"/>
      <c r="C24" s="7" t="n"/>
    </row>
    <row r="25">
      <c r="A25" t="inlineStr">
        <is>
          <t>Days to collect (Medicaid/MCO)</t>
        </is>
      </c>
      <c r="B25" s="11" t="n">
        <v>45</v>
      </c>
      <c r="C25" s="9" t="inlineStr">
        <is>
          <t>30-90 days typical for Medicaid.</t>
        </is>
      </c>
    </row>
    <row r="26">
      <c r="A26" t="inlineStr">
        <is>
          <t>Payroll frequency (days)</t>
        </is>
      </c>
      <c r="B26" s="11" t="n">
        <v>7</v>
      </c>
      <c r="C26" s="9" t="inlineStr">
        <is>
          <t>Weekly payroll = bigger float.</t>
        </is>
      </c>
    </row>
    <row r="27">
      <c r="A27" t="inlineStr">
        <is>
          <t>Factoring? (1=yes, 0=no)</t>
        </is>
      </c>
      <c r="B27" s="11" t="n">
        <v>0</v>
      </c>
      <c r="C27" s="9" t="inlineStr">
        <is>
          <t>If 1, applies factoring lines below.</t>
        </is>
      </c>
    </row>
    <row r="28">
      <c r="A28" t="inlineStr">
        <is>
          <t>Factoring advance rate</t>
        </is>
      </c>
      <c r="B28" s="12" t="n">
        <v>0.85</v>
      </c>
      <c r="C28" s="9" t="inlineStr">
        <is>
          <t>70-92% typical.</t>
        </is>
      </c>
    </row>
    <row r="29">
      <c r="A29" t="inlineStr">
        <is>
          <t>Factoring annual cost rate</t>
        </is>
      </c>
      <c r="B29" s="12" t="n">
        <v>0.24</v>
      </c>
      <c r="C29" s="9" t="inlineStr">
        <is>
          <t>~18-36% annualized.</t>
        </is>
      </c>
    </row>
    <row r="31">
      <c r="A31" s="6" t="inlineStr">
        <is>
          <t>ACQUISITION</t>
        </is>
      </c>
      <c r="B31" s="7" t="n"/>
      <c r="C31" s="7" t="n"/>
    </row>
    <row r="32">
      <c r="A32" t="inlineStr">
        <is>
          <t>Target trailing revenue</t>
        </is>
      </c>
      <c r="B32" s="13" t="n">
        <v>1500000</v>
      </c>
      <c r="C32" s="9" t="inlineStr">
        <is>
          <t>From seller financials.</t>
        </is>
      </c>
    </row>
    <row r="33">
      <c r="A33" t="inlineStr">
        <is>
          <t>Target EBITDA margin</t>
        </is>
      </c>
      <c r="B33" s="12" t="n">
        <v>0.15</v>
      </c>
      <c r="C33" s="9" t="inlineStr">
        <is>
          <t>Normalized after market-rate owner salary.</t>
        </is>
      </c>
    </row>
    <row r="34">
      <c r="A34" t="inlineStr">
        <is>
          <t>Purchase multiple (x EBITDA)</t>
        </is>
      </c>
      <c r="B34" s="10" t="n">
        <v>5</v>
      </c>
      <c r="C34" s="9" t="inlineStr">
        <is>
          <t>Small IDD ~4-7x; platforms 8-11x.</t>
        </is>
      </c>
    </row>
    <row r="35">
      <c r="A35" t="inlineStr">
        <is>
          <t>% financed with debt</t>
        </is>
      </c>
      <c r="B35" s="12" t="n">
        <v>0.5</v>
      </c>
      <c r="C35" s="9" t="inlineStr">
        <is>
          <t>SBA / seller note / lender.</t>
        </is>
      </c>
    </row>
    <row r="36">
      <c r="A36" t="inlineStr">
        <is>
          <t>Debt interest rate</t>
        </is>
      </c>
      <c r="B36" s="12" t="n">
        <v>0.105</v>
      </c>
      <c r="C36" s="9" t="inlineStr">
        <is>
          <t>Illustrative.</t>
        </is>
      </c>
    </row>
    <row r="37">
      <c r="A37" t="inlineStr">
        <is>
          <t>Equity raise target</t>
        </is>
      </c>
      <c r="B37" s="13" t="n">
        <v>750000</v>
      </c>
      <c r="C37" s="9" t="inlineStr">
        <is>
          <t>What you raise from investors.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 ht="24" customHeight="1">
      <c r="A1" s="1" t="inlineStr">
        <is>
          <t>Unit Economics</t>
        </is>
      </c>
      <c r="B1" s="3" t="n"/>
    </row>
    <row r="2">
      <c r="A2" s="6" t="inlineStr">
        <is>
          <t>PER BILLED HOUR</t>
        </is>
      </c>
      <c r="B2" s="7" t="n"/>
    </row>
    <row r="3">
      <c r="A3" t="inlineStr">
        <is>
          <t>DSP pay rate</t>
        </is>
      </c>
      <c r="B3" s="14">
        <f>'Assumptions'!B4</f>
        <v/>
      </c>
    </row>
    <row r="4">
      <c r="A4" t="inlineStr">
        <is>
          <t>Bill rate</t>
        </is>
      </c>
      <c r="B4" s="14">
        <f>'Assumptions'!B4*'Assumptions'!B5</f>
        <v/>
      </c>
    </row>
    <row r="5">
      <c r="A5" t="inlineStr">
        <is>
          <t>Labor burden $/hr</t>
        </is>
      </c>
      <c r="B5" s="14">
        <f>'Assumptions'!B4*('Assumptions'!B11+'Assumptions'!B12+'Assumptions'!B13)</f>
        <v/>
      </c>
    </row>
    <row r="6">
      <c r="A6" t="inlineStr">
        <is>
          <t>Fully loaded labor cost $/hr</t>
        </is>
      </c>
      <c r="B6" s="14">
        <f>'Unit Economics'!B3+'Unit Economics'!B5</f>
        <v/>
      </c>
    </row>
    <row r="7">
      <c r="A7" t="inlineStr">
        <is>
          <t>Gross profit $/hr</t>
        </is>
      </c>
      <c r="B7" s="15">
        <f>'Unit Economics'!B4-'Unit Economics'!B6</f>
        <v/>
      </c>
    </row>
    <row r="8">
      <c r="A8" t="inlineStr">
        <is>
          <t>Gross margin %</t>
        </is>
      </c>
      <c r="B8" s="16">
        <f>'Unit Economics'!B7/'Unit Economics'!B4</f>
        <v/>
      </c>
    </row>
    <row r="10">
      <c r="A10" s="6" t="inlineStr">
        <is>
          <t>ANNUAL VOLUME</t>
        </is>
      </c>
      <c r="B10" s="7" t="n"/>
    </row>
    <row r="11">
      <c r="A11" t="inlineStr">
        <is>
          <t>Total billable hours / yr</t>
        </is>
      </c>
      <c r="B11" s="17">
        <f>'Assumptions'!B6*'Assumptions'!B7*'Assumptions'!B8</f>
        <v/>
      </c>
    </row>
    <row r="13">
      <c r="A13" s="6" t="inlineStr">
        <is>
          <t>ANNUAL P&amp;L</t>
        </is>
      </c>
      <c r="B13" s="7" t="n"/>
    </row>
    <row r="14">
      <c r="A14" t="inlineStr">
        <is>
          <t>Revenue</t>
        </is>
      </c>
      <c r="B14" s="18">
        <f>'Unit Economics'!B4*'Unit Economics'!B11</f>
        <v/>
      </c>
    </row>
    <row r="15">
      <c r="A15" t="inlineStr">
        <is>
          <t>Cost of labor (pay + burden)</t>
        </is>
      </c>
      <c r="B15" s="19">
        <f>'Unit Economics'!B6*'Unit Economics'!B11</f>
        <v/>
      </c>
    </row>
    <row r="16">
      <c r="A16" t="inlineStr">
        <is>
          <t>Gross profit</t>
        </is>
      </c>
      <c r="B16" s="18">
        <f>'Unit Economics'!B14-'Unit Economics'!B15</f>
        <v/>
      </c>
    </row>
    <row r="17">
      <c r="A17" t="inlineStr">
        <is>
          <t>Gross margin %</t>
        </is>
      </c>
      <c r="B17" s="16">
        <f>'Unit Economics'!B16/'Unit Economics'!B14</f>
        <v/>
      </c>
    </row>
    <row r="18">
      <c r="A18" t="inlineStr">
        <is>
          <t>Total overhead (fixed)</t>
        </is>
      </c>
      <c r="B18" s="19">
        <f>SUM('Assumptions'!B16,'Assumptions'!B17,'Assumptions'!B18,'Assumptions'!B19,'Assumptions'!B20,'Assumptions'!B21,'Assumptions'!B22)</f>
        <v/>
      </c>
    </row>
    <row r="19">
      <c r="A19" t="inlineStr">
        <is>
          <t>EBITDA</t>
        </is>
      </c>
      <c r="B19" s="18">
        <f>'Unit Economics'!B16-'Unit Economics'!B18</f>
        <v/>
      </c>
    </row>
    <row r="20">
      <c r="A20" t="inlineStr">
        <is>
          <t>EBITDA margin %</t>
        </is>
      </c>
      <c r="B20" s="16">
        <f>'Unit Economics'!B19/'Unit Economics'!B14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 ht="24" customHeight="1">
      <c r="A1" s="1" t="inlineStr">
        <is>
          <t>Working Capital - Payroll Float</t>
        </is>
      </c>
      <c r="B1" s="3" t="n"/>
    </row>
    <row r="2">
      <c r="A2" t="inlineStr">
        <is>
          <t>Annual revenue</t>
        </is>
      </c>
      <c r="B2" s="19">
        <f>'Unit Economics'!B14</f>
        <v/>
      </c>
    </row>
    <row r="3">
      <c r="A3" t="inlineStr">
        <is>
          <t>Annual labor cost (cash out)</t>
        </is>
      </c>
      <c r="B3" s="19">
        <f>'Unit Economics'!B15</f>
        <v/>
      </c>
    </row>
    <row r="4">
      <c r="A4" t="inlineStr">
        <is>
          <t>Avg daily revenue</t>
        </is>
      </c>
      <c r="B4" s="19">
        <f>'Working Capital'!B2/365</f>
        <v/>
      </c>
    </row>
    <row r="5">
      <c r="A5" t="inlineStr">
        <is>
          <t>Avg daily labor cost</t>
        </is>
      </c>
      <c r="B5" s="19">
        <f>'Working Capital'!B3/365</f>
        <v/>
      </c>
    </row>
    <row r="7">
      <c r="A7" t="inlineStr">
        <is>
          <t>Days to collect from payer</t>
        </is>
      </c>
      <c r="B7" s="17">
        <f>'Assumptions'!B25</f>
        <v/>
      </c>
    </row>
    <row r="8">
      <c r="A8" t="inlineStr">
        <is>
          <t>Payroll cycle (days)</t>
        </is>
      </c>
      <c r="B8" s="17">
        <f>'Assumptions'!B26</f>
        <v/>
      </c>
    </row>
    <row r="9">
      <c r="A9" t="inlineStr">
        <is>
          <t>Float gap (days)</t>
        </is>
      </c>
      <c r="B9" s="17">
        <f>'Working Capital'!B7-'Working Capital'!B8</f>
        <v/>
      </c>
    </row>
    <row r="11">
      <c r="A11" s="6" t="inlineStr">
        <is>
          <t>PEAK WORKING CAPITAL NEEDED</t>
        </is>
      </c>
      <c r="B11" s="7" t="n"/>
    </row>
    <row r="12">
      <c r="A12" t="inlineStr">
        <is>
          <t>AR outstanding (revenue in transit)</t>
        </is>
      </c>
      <c r="B12" s="19">
        <f>'Working Capital'!B4*'Working Capital'!B7</f>
        <v/>
      </c>
    </row>
    <row r="13">
      <c r="A13" t="inlineStr">
        <is>
          <t>Labor cash paid out during gap</t>
        </is>
      </c>
      <c r="B13" s="19">
        <f>'Working Capital'!B5*'Working Capital'!B9</f>
        <v/>
      </c>
    </row>
    <row r="14">
      <c r="A14" t="inlineStr">
        <is>
          <t>Est. working capital required</t>
        </is>
      </c>
      <c r="B14" s="18">
        <f>MAX('Working Capital'!B12,'Working Capital'!B13)</f>
        <v/>
      </c>
    </row>
    <row r="16">
      <c r="A16" s="6" t="inlineStr">
        <is>
          <t>IF FACTORING (toggle on Assumptions)</t>
        </is>
      </c>
      <c r="B16" s="7" t="n"/>
    </row>
    <row r="17">
      <c r="A17" t="inlineStr">
        <is>
          <t>Cash advanced upfront</t>
        </is>
      </c>
      <c r="B17" s="19">
        <f>'Working Capital'!B12*'Assumptions'!B28*'Assumptions'!B27</f>
        <v/>
      </c>
    </row>
    <row r="18">
      <c r="A18" t="inlineStr">
        <is>
          <t>Annual factoring cost</t>
        </is>
      </c>
      <c r="B18" s="19">
        <f>'Working Capital'!B2*'Assumptions'!B29*'Assumptions'!B27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 ht="24" customHeight="1">
      <c r="A1" s="1" t="inlineStr">
        <is>
          <t>Acquisition Pro-Forma</t>
        </is>
      </c>
      <c r="B1" s="3" t="n"/>
    </row>
    <row r="2">
      <c r="A2" s="6" t="inlineStr">
        <is>
          <t>TARGET</t>
        </is>
      </c>
      <c r="B2" s="7" t="n"/>
    </row>
    <row r="3">
      <c r="A3" t="inlineStr">
        <is>
          <t>Trailing revenue</t>
        </is>
      </c>
      <c r="B3" s="19">
        <f>'Assumptions'!B32</f>
        <v/>
      </c>
    </row>
    <row r="4">
      <c r="A4" t="inlineStr">
        <is>
          <t>EBITDA margin</t>
        </is>
      </c>
      <c r="B4" s="16">
        <f>'Assumptions'!B33</f>
        <v/>
      </c>
    </row>
    <row r="5">
      <c r="A5" t="inlineStr">
        <is>
          <t>EBITDA</t>
        </is>
      </c>
      <c r="B5" s="18">
        <f>'Acquisition'!B3*'Acquisition'!B4</f>
        <v/>
      </c>
    </row>
    <row r="7">
      <c r="A7" s="6" t="inlineStr">
        <is>
          <t>PURCHASE</t>
        </is>
      </c>
      <c r="B7" s="7" t="n"/>
    </row>
    <row r="8">
      <c r="A8" t="inlineStr">
        <is>
          <t>Purchase multiple</t>
        </is>
      </c>
      <c r="B8" s="20">
        <f>'Assumptions'!B34</f>
        <v/>
      </c>
    </row>
    <row r="9">
      <c r="A9" t="inlineStr">
        <is>
          <t>Enterprise value (purchase price)</t>
        </is>
      </c>
      <c r="B9" s="18">
        <f>'Acquisition'!B5*'Acquisition'!B8</f>
        <v/>
      </c>
    </row>
    <row r="11">
      <c r="A11" s="6" t="inlineStr">
        <is>
          <t>FUNDING</t>
        </is>
      </c>
      <c r="B11" s="7" t="n"/>
    </row>
    <row r="12">
      <c r="A12" t="inlineStr">
        <is>
          <t>Debt financed</t>
        </is>
      </c>
      <c r="B12" s="19">
        <f>'Acquisition'!B9*'Assumptions'!B35</f>
        <v/>
      </c>
    </row>
    <row r="13">
      <c r="A13" t="inlineStr">
        <is>
          <t>Equity required</t>
        </is>
      </c>
      <c r="B13" s="18">
        <f>'Acquisition'!B9-'Acquisition'!B12</f>
        <v/>
      </c>
    </row>
    <row r="14">
      <c r="A14" t="inlineStr">
        <is>
          <t>Equity raise target</t>
        </is>
      </c>
      <c r="B14" s="19">
        <f>'Assumptions'!B37</f>
        <v/>
      </c>
    </row>
    <row r="15">
      <c r="A15" t="inlineStr">
        <is>
          <t>Surplus / (shortfall) vs. raise</t>
        </is>
      </c>
      <c r="B15" s="18">
        <f>'Acquisition'!B14-'Acquisition'!B13</f>
        <v/>
      </c>
    </row>
    <row r="17">
      <c r="A17" s="6" t="inlineStr">
        <is>
          <t>RETURNS (illustrative, pre-tax, year 1, interest-only)</t>
        </is>
      </c>
      <c r="B17" s="7" t="n"/>
    </row>
    <row r="18">
      <c r="A18" t="inlineStr">
        <is>
          <t>Annual debt service (interest only)</t>
        </is>
      </c>
      <c r="B18" s="19">
        <f>'Acquisition'!B12*'Assumptions'!B36</f>
        <v/>
      </c>
    </row>
    <row r="19">
      <c r="A19" t="inlineStr">
        <is>
          <t>EBITDA after debt service</t>
        </is>
      </c>
      <c r="B19" s="18">
        <f>'Acquisition'!B5-'Acquisition'!B18</f>
        <v/>
      </c>
    </row>
    <row r="20">
      <c r="A20" t="inlineStr">
        <is>
          <t>Cash-on-cash return on equity</t>
        </is>
      </c>
      <c r="B20" s="21">
        <f>'Acquisition'!B19/'Acquisition'!B13</f>
        <v/>
      </c>
    </row>
    <row r="21">
      <c r="A21" t="inlineStr">
        <is>
          <t>Implied payback (yrs on equity)</t>
        </is>
      </c>
      <c r="B21" s="22">
        <f>'Acquisition'!B13/'Acquisition'!B19</f>
        <v/>
      </c>
    </row>
    <row r="23">
      <c r="A23" s="9" t="inlineStr">
        <is>
          <t>Simplified: interest-only, pre-tax, single year. For a raise, build a 5-yr projection with</t>
        </is>
      </c>
    </row>
    <row r="24">
      <c r="A24" s="9" t="inlineStr">
        <is>
          <t>census ramp, principal amortization, and taxes.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2026-06-06T11:36:47Z</dcterms:created>
  <dcterms:modified xsi:type="dcterms:W3CDTF">2026-06-06T11:36:47Z</dcterms:modified>
</cp:coreProperties>
</file>